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avel\Desktop\diploma2026\"/>
    </mc:Choice>
  </mc:AlternateContent>
  <xr:revisionPtr revIDLastSave="0" documentId="13_ncr:1_{8961F7A4-6081-4B1D-A91E-E241C1B95009}" xr6:coauthVersionLast="45" xr6:coauthVersionMax="45" xr10:uidLastSave="{00000000-0000-0000-0000-000000000000}"/>
  <bookViews>
    <workbookView xWindow="-108" yWindow="-108" windowWidth="30936" windowHeight="174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" i="1" l="1"/>
  <c r="H3" i="1"/>
</calcChain>
</file>

<file path=xl/sharedStrings.xml><?xml version="1.0" encoding="utf-8"?>
<sst xmlns="http://schemas.openxmlformats.org/spreadsheetml/2006/main" count="21" uniqueCount="21">
  <si>
    <t>Процесс</t>
  </si>
  <si>
    <t>AS-IS, мин</t>
  </si>
  <si>
    <t>TO-BE, мин</t>
  </si>
  <si>
    <t>Программы и группы</t>
  </si>
  <si>
    <t>Заявки и запись</t>
  </si>
  <si>
    <t>Отбор и зачисление</t>
  </si>
  <si>
    <t>Сопровождение обучения</t>
  </si>
  <si>
    <t>Результаты и отчётность</t>
  </si>
  <si>
    <t>Показатель</t>
  </si>
  <si>
    <t>Минуты</t>
  </si>
  <si>
    <t>AS-IS</t>
  </si>
  <si>
    <t>TO-BE</t>
  </si>
  <si>
    <t>Подпись</t>
  </si>
  <si>
    <t>A</t>
  </si>
  <si>
    <t>B</t>
  </si>
  <si>
    <t>Фонд рабочего времени, ч</t>
  </si>
  <si>
    <t>Зарплата junior-программиста</t>
  </si>
  <si>
    <t>Трудоёмкость разработки, ч</t>
  </si>
  <si>
    <t>Зарплата администратора</t>
  </si>
  <si>
    <t>Зарплата преподавателя</t>
  </si>
  <si>
    <t>Зарплата завуча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</si>
</sst>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4" fontId="4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Сравнительно временной анализ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AS-IS, мин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Лист1!$A$2:$A$6</c:f>
              <c:strCache>
                <c:ptCount val="5"/>
                <c:pt idx="0">
                  <c:v>Программы и группы</c:v>
                </c:pt>
                <c:pt idx="1">
                  <c:v>Заявки и запись</c:v>
                </c:pt>
                <c:pt idx="2">
                  <c:v>Отбор и зачисление</c:v>
                </c:pt>
                <c:pt idx="3">
                  <c:v>Сопровождение обучения</c:v>
                </c:pt>
                <c:pt idx="4">
                  <c:v>Результаты и отчётность</c:v>
                </c:pt>
              </c:strCache>
            </c:strRef>
          </c:cat>
          <c:val>
            <c:numRef>
              <c:f>Лист1!$B$2:$B$6</c:f>
              <c:numCache>
                <c:formatCode>General</c:formatCode>
                <c:ptCount val="5"/>
                <c:pt idx="0">
                  <c:v>150</c:v>
                </c:pt>
                <c:pt idx="1">
                  <c:v>40</c:v>
                </c:pt>
                <c:pt idx="2">
                  <c:v>45</c:v>
                </c:pt>
                <c:pt idx="3">
                  <c:v>140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F-4D09-BE63-51AC1E217E02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TO-BE, мин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Лист1!$A$2:$A$6</c:f>
              <c:strCache>
                <c:ptCount val="5"/>
                <c:pt idx="0">
                  <c:v>Программы и группы</c:v>
                </c:pt>
                <c:pt idx="1">
                  <c:v>Заявки и запись</c:v>
                </c:pt>
                <c:pt idx="2">
                  <c:v>Отбор и зачисление</c:v>
                </c:pt>
                <c:pt idx="3">
                  <c:v>Сопровождение обучения</c:v>
                </c:pt>
                <c:pt idx="4">
                  <c:v>Результаты и отчётность</c:v>
                </c:pt>
              </c:strCache>
            </c:strRef>
          </c:cat>
          <c:val>
            <c:numRef>
              <c:f>Лист1!$C$2:$C$6</c:f>
              <c:numCache>
                <c:formatCode>General</c:formatCode>
                <c:ptCount val="5"/>
                <c:pt idx="0">
                  <c:v>39</c:v>
                </c:pt>
                <c:pt idx="1">
                  <c:v>11</c:v>
                </c:pt>
                <c:pt idx="2">
                  <c:v>30</c:v>
                </c:pt>
                <c:pt idx="3">
                  <c:v>115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0F-4D09-BE63-51AC1E217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863600"/>
        <c:axId val="2104024400"/>
      </c:barChart>
      <c:catAx>
        <c:axId val="28586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4024400"/>
        <c:crosses val="autoZero"/>
        <c:auto val="1"/>
        <c:lblAlgn val="ctr"/>
        <c:lblOffset val="100"/>
        <c:noMultiLvlLbl val="0"/>
      </c:catAx>
      <c:valAx>
        <c:axId val="210402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86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166666666666667"/>
          <c:y val="5.0925925925925923E-2"/>
          <c:w val="0.29722222222222222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Лист1!$G$1</c:f>
              <c:strCache>
                <c:ptCount val="1"/>
                <c:pt idx="0">
                  <c:v>Минуты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A06-4A70-B410-81FE342BC7F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BE8D5A2-0BDF-4116-941E-726492381CC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A06-4A70-B410-81FE342BC7F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8DFE6F1-1BC0-43D9-8396-553A81C4917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A06-4A70-B410-81FE342BC7FD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Лист1!$F$2:$F$3</c:f>
              <c:strCache>
                <c:ptCount val="2"/>
                <c:pt idx="0">
                  <c:v>AS-IS</c:v>
                </c:pt>
                <c:pt idx="1">
                  <c:v>TO-BE</c:v>
                </c:pt>
              </c:strCache>
            </c:strRef>
          </c:cat>
          <c:val>
            <c:numRef>
              <c:f>Лист1!$G$2:$G$3</c:f>
              <c:numCache>
                <c:formatCode>#,##0.00</c:formatCode>
                <c:ptCount val="2"/>
                <c:pt idx="0">
                  <c:v>2278.23</c:v>
                </c:pt>
                <c:pt idx="1">
                  <c:v>1230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Лист1!$H$2:$H$3</c15:f>
                <c15:dlblRangeCache>
                  <c:ptCount val="2"/>
                  <c:pt idx="0">
                    <c:v>2278,23 Р</c:v>
                  </c:pt>
                  <c:pt idx="1">
                    <c:v>1230 Р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A06-4A70-B410-81FE342BC7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3"/>
        <c:overlap val="27"/>
        <c:axId val="290648880"/>
        <c:axId val="2096168208"/>
      </c:barChart>
      <c:catAx>
        <c:axId val="290648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6168208"/>
        <c:crosses val="autoZero"/>
        <c:auto val="1"/>
        <c:lblAlgn val="ctr"/>
        <c:lblOffset val="100"/>
        <c:noMultiLvlLbl val="0"/>
      </c:catAx>
      <c:valAx>
        <c:axId val="2096168208"/>
        <c:scaling>
          <c:orientation val="minMax"/>
        </c:scaling>
        <c:delete val="1"/>
        <c:axPos val="l"/>
        <c:numFmt formatCode="#,##0.00" sourceLinked="1"/>
        <c:majorTickMark val="out"/>
        <c:minorTickMark val="none"/>
        <c:tickLblPos val="nextTo"/>
        <c:crossAx val="29064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17</xdr:row>
      <xdr:rowOff>124523</xdr:rowOff>
    </xdr:from>
    <xdr:to>
      <xdr:col>7</xdr:col>
      <xdr:colOff>495300</xdr:colOff>
      <xdr:row>32</xdr:row>
      <xdr:rowOff>152981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91448C1-FB3B-4E11-97F6-E832C5518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423862</xdr:colOff>
      <xdr:row>3</xdr:row>
      <xdr:rowOff>423862</xdr:rowOff>
    </xdr:from>
    <xdr:to>
      <xdr:col>13</xdr:col>
      <xdr:colOff>119062</xdr:colOff>
      <xdr:row>14</xdr:row>
      <xdr:rowOff>38100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B1CB855-94E4-4501-BF40-461BC89A5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zoomScale="175" zoomScaleNormal="175" workbookViewId="0">
      <selection activeCell="O15" sqref="O15"/>
    </sheetView>
  </sheetViews>
  <sheetFormatPr defaultRowHeight="14.4" x14ac:dyDescent="0.3"/>
  <sheetData>
    <row r="1" spans="1:16" ht="28.8" x14ac:dyDescent="0.3">
      <c r="A1" s="5" t="s">
        <v>0</v>
      </c>
      <c r="B1" s="6" t="s">
        <v>1</v>
      </c>
      <c r="C1" s="6" t="s">
        <v>2</v>
      </c>
      <c r="E1" s="1"/>
      <c r="F1" s="1" t="s">
        <v>8</v>
      </c>
      <c r="G1" s="3" t="s">
        <v>9</v>
      </c>
      <c r="H1" s="1" t="s">
        <v>12</v>
      </c>
      <c r="O1" s="1" t="s">
        <v>13</v>
      </c>
      <c r="P1" s="3" t="s">
        <v>14</v>
      </c>
    </row>
    <row r="2" spans="1:16" ht="57.6" x14ac:dyDescent="0.35">
      <c r="A2" s="7" t="s">
        <v>3</v>
      </c>
      <c r="B2" s="8">
        <v>150</v>
      </c>
      <c r="C2" s="8">
        <v>39</v>
      </c>
      <c r="E2" s="4"/>
      <c r="F2" s="4" t="s">
        <v>10</v>
      </c>
      <c r="G2" s="9">
        <v>2278.23</v>
      </c>
      <c r="H2" s="4" t="str">
        <f>G2&amp;" Р"</f>
        <v>2278,23 Р</v>
      </c>
      <c r="O2" s="4" t="s">
        <v>15</v>
      </c>
      <c r="P2" s="2">
        <v>168</v>
      </c>
    </row>
    <row r="3" spans="1:16" ht="57.6" x14ac:dyDescent="0.35">
      <c r="A3" s="7" t="s">
        <v>4</v>
      </c>
      <c r="B3" s="8">
        <v>40</v>
      </c>
      <c r="C3" s="8">
        <v>11</v>
      </c>
      <c r="E3" s="4"/>
      <c r="F3" s="4" t="s">
        <v>11</v>
      </c>
      <c r="G3" s="9">
        <v>1230</v>
      </c>
      <c r="H3" s="4" t="str">
        <f>G3&amp;" Р"</f>
        <v>1230 Р</v>
      </c>
      <c r="O3" s="4" t="s">
        <v>16</v>
      </c>
      <c r="P3" s="2">
        <v>90000</v>
      </c>
    </row>
    <row r="4" spans="1:16" ht="57.6" x14ac:dyDescent="0.3">
      <c r="A4" s="7" t="s">
        <v>5</v>
      </c>
      <c r="B4" s="8">
        <v>45</v>
      </c>
      <c r="C4" s="8">
        <v>30</v>
      </c>
      <c r="E4" s="4"/>
      <c r="F4" s="2"/>
      <c r="G4" s="2"/>
      <c r="O4" s="4" t="s">
        <v>17</v>
      </c>
      <c r="P4" s="2">
        <v>880</v>
      </c>
    </row>
    <row r="5" spans="1:16" ht="43.2" x14ac:dyDescent="0.3">
      <c r="A5" s="7" t="s">
        <v>6</v>
      </c>
      <c r="B5" s="8">
        <v>140</v>
      </c>
      <c r="C5" s="8">
        <v>115</v>
      </c>
      <c r="E5" s="4"/>
      <c r="F5" s="2"/>
      <c r="G5" s="2"/>
      <c r="O5" s="4" t="s">
        <v>18</v>
      </c>
      <c r="P5" s="2">
        <v>80000</v>
      </c>
    </row>
    <row r="6" spans="1:16" ht="52.8" x14ac:dyDescent="0.3">
      <c r="A6" s="7" t="s">
        <v>7</v>
      </c>
      <c r="B6" s="8">
        <v>65</v>
      </c>
      <c r="C6" s="8">
        <v>25</v>
      </c>
      <c r="E6" s="4"/>
      <c r="F6" s="2"/>
      <c r="G6" s="2"/>
      <c r="O6" s="4" t="s">
        <v>19</v>
      </c>
      <c r="P6" s="2">
        <v>80000</v>
      </c>
    </row>
    <row r="7" spans="1:16" ht="28.8" x14ac:dyDescent="0.3">
      <c r="O7" s="4" t="s">
        <v>20</v>
      </c>
      <c r="P7" s="2">
        <v>105000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Криворучко</dc:creator>
  <cp:lastModifiedBy>Павел Криворучко</cp:lastModifiedBy>
  <dcterms:created xsi:type="dcterms:W3CDTF">2015-06-05T18:19:34Z</dcterms:created>
  <dcterms:modified xsi:type="dcterms:W3CDTF">2026-06-10T17:45:05Z</dcterms:modified>
</cp:coreProperties>
</file>